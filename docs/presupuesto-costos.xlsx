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ecto\source\repos\PromacoHerra\docs\"/>
    </mc:Choice>
  </mc:AlternateContent>
  <xr:revisionPtr revIDLastSave="0" documentId="13_ncr:1_{42E3B732-F4A9-4DA3-807B-13421A6BB868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Supuestos" sheetId="1" r:id="rId1"/>
    <sheet name="Presupuesto" sheetId="2" r:id="rId2"/>
    <sheet name="Recuperación" sheetId="3" r:id="rId3"/>
    <sheet name="Notas para Claud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/>
  <c r="B5" i="3"/>
  <c r="B4" i="3"/>
  <c r="B7" i="3" s="1"/>
  <c r="B9" i="1"/>
  <c r="E12" i="2" s="1"/>
  <c r="F12" i="2" s="1"/>
  <c r="F42" i="2"/>
  <c r="E40" i="2"/>
  <c r="E37" i="2"/>
  <c r="E33" i="2"/>
  <c r="F33" i="2" s="1"/>
  <c r="E32" i="2"/>
  <c r="F32" i="2" s="1"/>
  <c r="F28" i="2"/>
  <c r="F27" i="2"/>
  <c r="F26" i="2"/>
  <c r="F25" i="2"/>
  <c r="F24" i="2"/>
  <c r="F20" i="2"/>
  <c r="F19" i="2"/>
  <c r="F18" i="2"/>
  <c r="F17" i="2"/>
  <c r="F16" i="2"/>
  <c r="F21" i="2" s="1"/>
  <c r="E11" i="2"/>
  <c r="F11" i="2" s="1"/>
  <c r="E10" i="2"/>
  <c r="F10" i="2" s="1"/>
  <c r="E7" i="2" l="1"/>
  <c r="F7" i="2" s="1"/>
  <c r="E8" i="2"/>
  <c r="F8" i="2" s="1"/>
  <c r="E9" i="2"/>
  <c r="F9" i="2" s="1"/>
  <c r="E31" i="2"/>
  <c r="F31" i="2" s="1"/>
  <c r="F34" i="2" s="1"/>
  <c r="E6" i="2"/>
  <c r="F6" i="2" s="1"/>
  <c r="F13" i="2" s="1"/>
  <c r="F36" i="2" l="1"/>
  <c r="F40" i="2"/>
  <c r="B8" i="3" s="1"/>
  <c r="B9" i="3" s="1"/>
  <c r="F37" i="2" l="1"/>
  <c r="F38" i="2" s="1"/>
  <c r="B10" i="3" s="1"/>
  <c r="B11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B6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Punto medio del rango aproximado L. 15,000–25,000 para un programador junior en Honduras. Reemplace con el promedio de las ofertas que encuentre.</t>
        </r>
      </text>
    </comment>
    <comment ref="B7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Jornada ordinaria diurna de 8 h, 5 días por semana.</t>
        </r>
      </text>
    </comment>
    <comment ref="B8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Si se presupuesta como empleado de planta, use ~1.35 para incluir décimo tercer y décimo cuarto mes, vacaciones, IHSS y RAP. Para un proyecto entregado por un independiente, 1.00.</t>
        </r>
      </text>
    </comment>
    <comment ref="B12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Cubre imprevistos: cambios de requisitos, precios que suben.</t>
        </r>
      </text>
    </comment>
    <comment ref="B14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Solo se usa si alguna cotización viene en dólares (por ejemplo, una licencia comercial de iText).</t>
        </r>
      </text>
    </comment>
    <comment ref="B2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El sistema registra quién devolvió dañada cada unidad y cuánto costó repararla, lo que permite controlar este gasto.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G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Levantamiento con PROMACO, docs/requisitos.md y docs/descripcion-general.md.</t>
        </r>
      </text>
    </comment>
    <comment ref="G9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Medido en el repositorio: archivos .cs sin contar los *.Designer.cs generados.</t>
        </r>
      </text>
    </comment>
    <comment ref="G19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Si se elige la opción B, ponga en Costo unitario: =&lt;precio en US$&gt;*Supuestos!$B$14</t>
        </r>
      </text>
    </comment>
    <comment ref="G32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Ajuste según el número real de unidades físicas a registrar.</t>
        </r>
      </text>
    </comment>
  </commentList>
</comments>
</file>

<file path=xl/sharedStrings.xml><?xml version="1.0" encoding="utf-8"?>
<sst xmlns="http://schemas.openxmlformats.org/spreadsheetml/2006/main" count="155" uniqueCount="137">
  <si>
    <t>PROMACO · Sistema de Control de Herramientas — Presupuesto de costos (L.)</t>
  </si>
  <si>
    <t>Total = Cantidad × Costo unitario. Las tarifas por hora vienen de la hoja Supuestos (texto verde).</t>
  </si>
  <si>
    <t>Rubro</t>
  </si>
  <si>
    <t>Detalle</t>
  </si>
  <si>
    <t>Cantidad</t>
  </si>
  <si>
    <t>Unidad</t>
  </si>
  <si>
    <t>Costo unitario (L.)</t>
  </si>
  <si>
    <t>Total (L.)</t>
  </si>
  <si>
    <t>Fuente / justificación</t>
  </si>
  <si>
    <t>1. Desarrollo</t>
  </si>
  <si>
    <t>Análisis y requisitos</t>
  </si>
  <si>
    <t>horas</t>
  </si>
  <si>
    <t>Horas estimadas del proyecto (mar–oct 2026).</t>
  </si>
  <si>
    <t>Diseño de base de datos</t>
  </si>
  <si>
    <t>Horas estimadas. Ver docs/diagrama-er.md.</t>
  </si>
  <si>
    <t>Diseño de interfaz</t>
  </si>
  <si>
    <t>Horas estimadas. Ver docs/diseno-interfaz.md.</t>
  </si>
  <si>
    <t>Programación de la aplicación (C# / WinForms)</t>
  </si>
  <si>
    <t>Horas estimadas; el sistema tiene ~12,700 líneas de C# propias.</t>
  </si>
  <si>
    <t>Base de datos: procedimientos, vistas y migraciones (SQL)</t>
  </si>
  <si>
    <t>Horas estimadas; ~7,800 líneas de SQL (instalación + 18 migraciones).</t>
  </si>
  <si>
    <t>Pruebas y corrección de errores</t>
  </si>
  <si>
    <t>Horas estimadas.</t>
  </si>
  <si>
    <t>Documentación y manual</t>
  </si>
  <si>
    <t>Subtotal desarrollo</t>
  </si>
  <si>
    <t>2. Licencias</t>
  </si>
  <si>
    <t>.NET 10 y Visual Studio Community</t>
  </si>
  <si>
    <t>licencia</t>
  </si>
  <si>
    <t>Gratuitos (Microsoft). Community permitido para equipos pequeños.</t>
  </si>
  <si>
    <t>SQL Server Express</t>
  </si>
  <si>
    <t>Gratuito hasta 10 GB por base de datos; suficiente para el inventario.</t>
  </si>
  <si>
    <t>ClosedXML, FontAwesome.Sharp, SqlClient, Newtonsoft.Json</t>
  </si>
  <si>
    <t>paquete</t>
  </si>
  <si>
    <t>Licencia MIT: uso comercial libre.</t>
  </si>
  <si>
    <t>Librería PDF (iText 9)</t>
  </si>
  <si>
    <t>PENDIENTE: iText es AGPL. Opción A: reemplazar por QuestPDF/PdfSharp (L. 0). Opción B: licencia comercial (cotizar en US$ y multiplicar por el tipo de cambio).</t>
  </si>
  <si>
    <t>Windows en las estaciones</t>
  </si>
  <si>
    <t>Equipos existentes de PROMACO ya tienen Windows.</t>
  </si>
  <si>
    <t>Subtotal licencias</t>
  </si>
  <si>
    <t>3. Hardware</t>
  </si>
  <si>
    <t>Computadora servidor / estación principal</t>
  </si>
  <si>
    <t>equipo</t>
  </si>
  <si>
    <t>Se reutiliza equipo existente de PROMACO. Si no hay, cotizar en 2–3 tiendas.</t>
  </si>
  <si>
    <t>Disco externo para respaldos (1 TB)</t>
  </si>
  <si>
    <t>unidad</t>
  </si>
  <si>
    <t>ESTIMADO. Reemplazar por cotización real (tienda, fecha).</t>
  </si>
  <si>
    <t>UPS / regulador para el equipo con la base de datos</t>
  </si>
  <si>
    <t>Etiquetas para identificar cada unidad (HER-0001-03)</t>
  </si>
  <si>
    <t>lote</t>
  </si>
  <si>
    <t>ESTIMADO. Etiquetas adhesivas resistentes o placas; cotizar.</t>
  </si>
  <si>
    <t>Subtotal hardware</t>
  </si>
  <si>
    <t>4. Implementación</t>
  </si>
  <si>
    <t>Instalación de SQL Server y la aplicación</t>
  </si>
  <si>
    <t>Carga inicial del inventario y etiquetado</t>
  </si>
  <si>
    <t>Horas estimadas; depende de cuántas herramientas tenga PROMACO.</t>
  </si>
  <si>
    <t>Capacitación de operadores y administradores</t>
  </si>
  <si>
    <t>Subtotal implementación</t>
  </si>
  <si>
    <t>Subtotal general</t>
  </si>
  <si>
    <t>Contingencia</t>
  </si>
  <si>
    <t>Imprevistos, sobre el subtotal general.</t>
  </si>
  <si>
    <t>TOTAL INVERSIÓN INICIAL</t>
  </si>
  <si>
    <t>Soporte y mantenimiento anual (recurrente)</t>
  </si>
  <si>
    <t>Porcentaje anual sobre el subtotal de desarrollo. No forma parte de la inversión inicial.</t>
  </si>
  <si>
    <t>Horas totales de desarrollo</t>
  </si>
  <si>
    <t>PROMACO · Supuestos del presupuesto</t>
  </si>
  <si>
    <t>Leyenda: celdas AMARILLAS con texto AZUL = datos que usted debe confirmar o reemplazar. Texto negro = fórmulas (no editar). Texto verde = valores traídos de otra hoja. Pase el mouse sobre las celdas con triángulo rojo para ver la explicación.</t>
  </si>
  <si>
    <t>Supuesto</t>
  </si>
  <si>
    <t>Valor</t>
  </si>
  <si>
    <t>Fuente / cómo se obtuvo</t>
  </si>
  <si>
    <t>Tarifa del desarrollador</t>
  </si>
  <si>
    <t>Salario mensual de referencia, desarrollador junior (L.)</t>
  </si>
  <si>
    <t>ESTIMADO. Confirmar con 2–3 ofertas reales de Computrabajo / Tecoloco Honduras (anotar fecha y enlace).</t>
  </si>
  <si>
    <t>Horas laborales por mes</t>
  </si>
  <si>
    <t>40 h/semana × 4 semanas.</t>
  </si>
  <si>
    <t>Factor de prestaciones laborales</t>
  </si>
  <si>
    <t>1.00 = tarifa de trabajador independiente (sin prestaciones).</t>
  </si>
  <si>
    <t>Tarifa por hora (L./h)</t>
  </si>
  <si>
    <t>Salario ÷ horas al mes × factor.</t>
  </si>
  <si>
    <t>Porcentajes estándar</t>
  </si>
  <si>
    <t>Contingencia sobre el subtotal</t>
  </si>
  <si>
    <t>Criterio usual de gestión de proyectos (5–15 %).</t>
  </si>
  <si>
    <t>Soporte y mantenimiento anual (% del desarrollo)</t>
  </si>
  <si>
    <t>Criterio usual de la industria: 15–20 % anual del costo de desarrollo.</t>
  </si>
  <si>
    <t>Tipo de cambio (L. por US$)</t>
  </si>
  <si>
    <t>ESTIMADO. Confirmar con el tipo de cambio de referencia del Banco Central de Honduras (bch.hn) el día del presupuesto.</t>
  </si>
  <si>
    <t>Situación actual (sin sistema) — para la recuperación</t>
  </si>
  <si>
    <t>Herramientas perdidas al año sin responsable (unidades)</t>
  </si>
  <si>
    <t>ESTIMADO. Preguntar a bodega de PROMACO cuántas piezas desaparecieron el último año.</t>
  </si>
  <si>
    <t>Valor promedio de una herramienta perdida (L.)</t>
  </si>
  <si>
    <t>ESTIMADO. Promedio del precio de reposición de las herramientas que más se pierden (cotizar en ferretería).</t>
  </si>
  <si>
    <t>Horas al mes dedicadas al control manual (papel / Excel)</t>
  </si>
  <si>
    <t>ESTIMADO. Preguntar al encargado de bodega cuánto tiempo invierte en buscar y anotar préstamos.</t>
  </si>
  <si>
    <t>Salario mensual del encargado de bodega (L.)</t>
  </si>
  <si>
    <t>ESTIMADO. Usar el salario real del puesto o el salario mínimo vigente del sector como piso.</t>
  </si>
  <si>
    <t>Reparaciones/daños no cobrados al año (L.)</t>
  </si>
  <si>
    <t>ESTIMADO. Daños que hoy nadie registra ni asigna a un responsable.</t>
  </si>
  <si>
    <t>PROMACO · ¿En cuánto tiempo se paga el sistema?</t>
  </si>
  <si>
    <t>Concepto</t>
  </si>
  <si>
    <t>Monto (L.)</t>
  </si>
  <si>
    <t>Cálculo</t>
  </si>
  <si>
    <t>Pérdida anual por herramientas extraviadas</t>
  </si>
  <si>
    <t>Unidades perdidas × valor promedio.</t>
  </si>
  <si>
    <t>Costo anual del control manual</t>
  </si>
  <si>
    <t>Horas al mes × 12 × costo por hora del encargado.</t>
  </si>
  <si>
    <t>Daños no cobrados al año</t>
  </si>
  <si>
    <t>Tomado de Supuestos.</t>
  </si>
  <si>
    <t>Ahorro anual estimado con el sistema</t>
  </si>
  <si>
    <t>Supone que el sistema evita estas pérdidas. Sea conservador: puede multiplicar por 50–70 %.</t>
  </si>
  <si>
    <t>Costo anual de soporte</t>
  </si>
  <si>
    <t>Desde Presupuesto.</t>
  </si>
  <si>
    <t>Beneficio neto anual</t>
  </si>
  <si>
    <t>Ahorro − soporte.</t>
  </si>
  <si>
    <t>Inversión inicial</t>
  </si>
  <si>
    <t>Meses para recuperar la inversión</t>
  </si>
  <si>
    <t>Inversión ÷ beneficio neto anual × 12.</t>
  </si>
  <si>
    <t>NOTAS PARA CLAUDE (y para cualquier revisor)</t>
  </si>
  <si>
    <t>Esta hoja da contexto a Claude para ayudar al autor a completar y defender el presupuesto. El autor no tiene experiencia poniendo precio a su trabajo: explicar cada número en lenguaje sencillo.</t>
  </si>
  <si>
    <t>Contexto del proyecto</t>
  </si>
  <si>
    <t>• PROMACO es una empresa real en Honduras. Moneda: lempiras (L.). Todo cálculo final debe quedar en L.</t>
  </si>
  <si>
    <t>• Sistema de escritorio C# / .NET 10 (WinForms) + SQL Server; repositorio PromacoHerra. Proyecto académico aprobado el 2026-10-05.</t>
  </si>
  <si>
    <t>• Desarrollo del 2026-03-16 al 2026-10 (≈ 7 meses, medio tiempo). ~12,700 líneas de C# propias y ~7,800 de SQL.</t>
  </si>
  <si>
    <t>• Las horas por fase (Presupuesto, columna C) son ESTIMADAS (~600 h ≈ 20 h/semana). Si el autor recuerda sus horas reales, usarlas.</t>
  </si>
  <si>
    <t>Cómo está armado el libro</t>
  </si>
  <si>
    <t>• Supuestos: todas las entradas (amarillo/azul). Cambiar un valor ahí actualiza todo el libro; nunca escribir números dentro de fórmulas.</t>
  </si>
  <si>
    <t>• Presupuesto: Total = Cantidad × Costo unitario. Las partidas en horas toman la tarifa de Supuestos!B9 (= salario ÷ horas × factor).</t>
  </si>
  <si>
    <t>• Recuperación: compara el ahorro anual estimado contra la inversión y calcula los meses para recuperarla.</t>
  </si>
  <si>
    <t>Pendientes para completar con el autor</t>
  </si>
  <si>
    <t>1. Salario de referencia (Supuestos!B6): buscar 2–3 ofertas de programador junior en Honduras; anotar portal, fecha y monto; usar el promedio.</t>
  </si>
  <si>
    <t>2. Tipo de cambio (Supuestos!B14): tomar el de referencia del BCH el día que se entregue el presupuesto.</t>
  </si>
  <si>
    <t>3. Hardware (disco, UPS, etiquetas): sustituir los estimados por cotizaciones reales con tienda y fecha.</t>
  </si>
  <si>
    <t>4. iText es AGPL: decidir si se reemplaza por QuestPDF/PdfSharp (L. 0) o se cotiza la licencia comercial (US$ × tipo de cambio).</t>
  </si>
  <si>
    <t>5. Datos de PROMACO para Recuperación (pérdidas, horas de control manual, salario de bodega): preguntar a la empresa.</t>
  </si>
  <si>
    <t>6. Si se pide, la base de datos de demo tiene costos de mantenimiento en L. que sirven como referencia de valores de reparación.</t>
  </si>
  <si>
    <t>Reglas al ayudar</t>
  </si>
  <si>
    <t>• No presentar un estimado como dato verificado: cada número debe tener fuente o decir ESTIMADO en su columna de fuente.</t>
  </si>
  <si>
    <t>• Mantener las fórmulas; si se agrega una fila, copiar la fórmula de Total de la fila de arriba y revisar que el Subtotal la incluya.</t>
  </si>
  <si>
    <t>• Ser conservador en la Recuperación: un evaluador confía más en ahorros modestos bien justificados.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</si>
</sst>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L. &quot;#,##0.00;\(&quot;L. &quot;#,##0.00\);&quot;-&quot;"/>
    <numFmt numFmtId="165" formatCode="#,##0;\(#,##0\);&quot;-&quot;"/>
    <numFmt numFmtId="166" formatCode="0.00&quot;x&quot;"/>
    <numFmt numFmtId="167" formatCode="0.0%"/>
    <numFmt numFmtId="168" formatCode="0.0&quot; meses&quot;"/>
  </numFmts>
  <fonts count="9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9"/>
      <color rgb="FF555555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sz val="10"/>
      <color rgb="FF0000FF"/>
      <name val="Arial"/>
    </font>
    <font>
      <sz val="10"/>
      <color rgb="FF008000"/>
      <name val="Arial"/>
    </font>
    <font>
      <b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FFF0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3" borderId="0" xfId="0" applyFont="1" applyFill="1"/>
    <xf numFmtId="0" fontId="0" fillId="3" borderId="0" xfId="0" applyFill="1"/>
    <xf numFmtId="0" fontId="5" fillId="0" borderId="1" xfId="0" applyFont="1" applyBorder="1" applyAlignment="1">
      <alignment vertical="top" wrapText="1"/>
    </xf>
    <xf numFmtId="164" fontId="6" fillId="4" borderId="1" xfId="0" applyNumberFormat="1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65" fontId="6" fillId="4" borderId="1" xfId="0" applyNumberFormat="1" applyFont="1" applyFill="1" applyBorder="1" applyAlignment="1">
      <alignment vertical="top" wrapText="1"/>
    </xf>
    <xf numFmtId="166" fontId="6" fillId="4" borderId="1" xfId="0" applyNumberFormat="1" applyFont="1" applyFill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167" fontId="6" fillId="4" borderId="1" xfId="0" applyNumberFormat="1" applyFont="1" applyFill="1" applyBorder="1" applyAlignment="1">
      <alignment vertical="top" wrapText="1"/>
    </xf>
    <xf numFmtId="4" fontId="6" fillId="4" borderId="1" xfId="0" applyNumberFormat="1" applyFont="1" applyFill="1" applyBorder="1" applyAlignment="1">
      <alignment vertical="top" wrapText="1"/>
    </xf>
    <xf numFmtId="0" fontId="2" fillId="0" borderId="0" xfId="0" applyFont="1"/>
    <xf numFmtId="164" fontId="7" fillId="0" borderId="1" xfId="0" applyNumberFormat="1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164" fontId="4" fillId="5" borderId="1" xfId="0" applyNumberFormat="1" applyFont="1" applyFill="1" applyBorder="1" applyAlignment="1">
      <alignment vertical="top" wrapText="1"/>
    </xf>
    <xf numFmtId="167" fontId="7" fillId="0" borderId="1" xfId="0" applyNumberFormat="1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164" fontId="8" fillId="5" borderId="1" xfId="0" applyNumberFormat="1" applyFont="1" applyFill="1" applyBorder="1" applyAlignment="1">
      <alignment vertical="top" wrapText="1"/>
    </xf>
    <xf numFmtId="165" fontId="5" fillId="0" borderId="1" xfId="0" applyNumberFormat="1" applyFont="1" applyBorder="1" applyAlignment="1">
      <alignment vertical="top" wrapText="1"/>
    </xf>
    <xf numFmtId="168" fontId="4" fillId="5" borderId="1" xfId="0" applyNumberFormat="1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showGridLines="0" workbookViewId="0"/>
  </sheetViews>
  <sheetFormatPr baseColWidth="10" defaultColWidth="9.140625" defaultRowHeight="15" x14ac:dyDescent="0.25"/>
  <cols>
    <col min="1" max="1" width="44" customWidth="1"/>
    <col min="2" max="2" width="16" customWidth="1"/>
    <col min="3" max="3" width="70" customWidth="1"/>
  </cols>
  <sheetData>
    <row r="1" spans="1:3" ht="18" x14ac:dyDescent="0.25">
      <c r="A1" s="1" t="s">
        <v>64</v>
      </c>
    </row>
    <row r="2" spans="1:3" ht="42" customHeight="1" x14ac:dyDescent="0.25">
      <c r="A2" s="25" t="s">
        <v>65</v>
      </c>
      <c r="B2" s="26"/>
      <c r="C2" s="26"/>
    </row>
    <row r="4" spans="1:3" x14ac:dyDescent="0.25">
      <c r="A4" s="2" t="s">
        <v>66</v>
      </c>
      <c r="B4" s="2" t="s">
        <v>67</v>
      </c>
      <c r="C4" s="2" t="s">
        <v>68</v>
      </c>
    </row>
    <row r="5" spans="1:3" x14ac:dyDescent="0.25">
      <c r="A5" s="3" t="s">
        <v>69</v>
      </c>
      <c r="B5" s="4"/>
      <c r="C5" s="4"/>
    </row>
    <row r="6" spans="1:3" ht="25.5" x14ac:dyDescent="0.25">
      <c r="A6" s="5" t="s">
        <v>70</v>
      </c>
      <c r="B6" s="6">
        <v>20000</v>
      </c>
      <c r="C6" s="7" t="s">
        <v>71</v>
      </c>
    </row>
    <row r="7" spans="1:3" x14ac:dyDescent="0.25">
      <c r="A7" s="5" t="s">
        <v>72</v>
      </c>
      <c r="B7" s="8">
        <v>160</v>
      </c>
      <c r="C7" s="7" t="s">
        <v>73</v>
      </c>
    </row>
    <row r="8" spans="1:3" x14ac:dyDescent="0.25">
      <c r="A8" s="5" t="s">
        <v>74</v>
      </c>
      <c r="B8" s="9">
        <v>1</v>
      </c>
      <c r="C8" s="7" t="s">
        <v>75</v>
      </c>
    </row>
    <row r="9" spans="1:3" x14ac:dyDescent="0.25">
      <c r="A9" s="5" t="s">
        <v>76</v>
      </c>
      <c r="B9" s="10">
        <f>B6/B7*B8</f>
        <v>125</v>
      </c>
      <c r="C9" s="7" t="s">
        <v>77</v>
      </c>
    </row>
    <row r="11" spans="1:3" x14ac:dyDescent="0.25">
      <c r="A11" s="3" t="s">
        <v>78</v>
      </c>
      <c r="B11" s="4"/>
      <c r="C11" s="4"/>
    </row>
    <row r="12" spans="1:3" x14ac:dyDescent="0.25">
      <c r="A12" s="5" t="s">
        <v>79</v>
      </c>
      <c r="B12" s="11">
        <v>0.1</v>
      </c>
      <c r="C12" s="7" t="s">
        <v>80</v>
      </c>
    </row>
    <row r="13" spans="1:3" x14ac:dyDescent="0.25">
      <c r="A13" s="5" t="s">
        <v>81</v>
      </c>
      <c r="B13" s="11">
        <v>0.15</v>
      </c>
      <c r="C13" s="7" t="s">
        <v>82</v>
      </c>
    </row>
    <row r="14" spans="1:3" ht="24" x14ac:dyDescent="0.25">
      <c r="A14" s="5" t="s">
        <v>83</v>
      </c>
      <c r="B14" s="12">
        <v>26.5</v>
      </c>
      <c r="C14" s="7" t="s">
        <v>84</v>
      </c>
    </row>
    <row r="16" spans="1:3" x14ac:dyDescent="0.25">
      <c r="A16" s="3" t="s">
        <v>85</v>
      </c>
      <c r="B16" s="4"/>
      <c r="C16" s="4"/>
    </row>
    <row r="17" spans="1:3" ht="25.5" x14ac:dyDescent="0.25">
      <c r="A17" s="5" t="s">
        <v>86</v>
      </c>
      <c r="B17" s="8">
        <v>3</v>
      </c>
      <c r="C17" s="7" t="s">
        <v>87</v>
      </c>
    </row>
    <row r="18" spans="1:3" ht="24" x14ac:dyDescent="0.25">
      <c r="A18" s="5" t="s">
        <v>88</v>
      </c>
      <c r="B18" s="6">
        <v>3500</v>
      </c>
      <c r="C18" s="7" t="s">
        <v>89</v>
      </c>
    </row>
    <row r="19" spans="1:3" ht="25.5" x14ac:dyDescent="0.25">
      <c r="A19" s="5" t="s">
        <v>90</v>
      </c>
      <c r="B19" s="8">
        <v>12</v>
      </c>
      <c r="C19" s="7" t="s">
        <v>91</v>
      </c>
    </row>
    <row r="20" spans="1:3" ht="24" x14ac:dyDescent="0.25">
      <c r="A20" s="5" t="s">
        <v>92</v>
      </c>
      <c r="B20" s="6">
        <v>13000</v>
      </c>
      <c r="C20" s="7" t="s">
        <v>93</v>
      </c>
    </row>
    <row r="21" spans="1:3" x14ac:dyDescent="0.25">
      <c r="A21" s="5" t="s">
        <v>94</v>
      </c>
      <c r="B21" s="6">
        <v>5000</v>
      </c>
      <c r="C21" s="7" t="s">
        <v>95</v>
      </c>
    </row>
  </sheetData>
  <mergeCells count="1">
    <mergeCell ref="A2:C2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2"/>
  <sheetViews>
    <sheetView showGridLines="0" tabSelected="1"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16" customWidth="1"/>
    <col min="2" max="2" width="40" customWidth="1"/>
    <col min="3" max="4" width="10" customWidth="1"/>
    <col min="5" max="5" width="16" customWidth="1"/>
    <col min="6" max="6" width="18" customWidth="1"/>
    <col min="7" max="7" width="60" customWidth="1"/>
  </cols>
  <sheetData>
    <row r="1" spans="1:7" ht="18" x14ac:dyDescent="0.25">
      <c r="A1" s="1" t="s">
        <v>0</v>
      </c>
    </row>
    <row r="2" spans="1:7" x14ac:dyDescent="0.25">
      <c r="A2" s="13" t="s">
        <v>1</v>
      </c>
    </row>
    <row r="4" spans="1:7" ht="25.5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x14ac:dyDescent="0.25">
      <c r="A5" s="3" t="s">
        <v>9</v>
      </c>
      <c r="B5" s="4"/>
      <c r="C5" s="4"/>
      <c r="D5" s="4"/>
      <c r="E5" s="4"/>
      <c r="F5" s="4"/>
      <c r="G5" s="4"/>
    </row>
    <row r="6" spans="1:7" x14ac:dyDescent="0.25">
      <c r="A6" s="5"/>
      <c r="B6" s="5" t="s">
        <v>10</v>
      </c>
      <c r="C6" s="8">
        <v>40</v>
      </c>
      <c r="D6" s="5" t="s">
        <v>11</v>
      </c>
      <c r="E6" s="14">
        <f>Supuestos!$B$9</f>
        <v>125</v>
      </c>
      <c r="F6" s="10">
        <f t="shared" ref="F6:F12" si="0">C6*E6</f>
        <v>5000</v>
      </c>
      <c r="G6" s="7" t="s">
        <v>12</v>
      </c>
    </row>
    <row r="7" spans="1:7" x14ac:dyDescent="0.25">
      <c r="A7" s="5"/>
      <c r="B7" s="5" t="s">
        <v>13</v>
      </c>
      <c r="C7" s="8">
        <v>40</v>
      </c>
      <c r="D7" s="5" t="s">
        <v>11</v>
      </c>
      <c r="E7" s="14">
        <f>Supuestos!$B$9</f>
        <v>125</v>
      </c>
      <c r="F7" s="10">
        <f t="shared" si="0"/>
        <v>5000</v>
      </c>
      <c r="G7" s="7" t="s">
        <v>14</v>
      </c>
    </row>
    <row r="8" spans="1:7" x14ac:dyDescent="0.25">
      <c r="A8" s="5"/>
      <c r="B8" s="5" t="s">
        <v>15</v>
      </c>
      <c r="C8" s="8">
        <v>40</v>
      </c>
      <c r="D8" s="5" t="s">
        <v>11</v>
      </c>
      <c r="E8" s="14">
        <f>Supuestos!$B$9</f>
        <v>125</v>
      </c>
      <c r="F8" s="10">
        <f t="shared" si="0"/>
        <v>5000</v>
      </c>
      <c r="G8" s="7" t="s">
        <v>16</v>
      </c>
    </row>
    <row r="9" spans="1:7" ht="25.5" x14ac:dyDescent="0.25">
      <c r="A9" s="5"/>
      <c r="B9" s="5" t="s">
        <v>17</v>
      </c>
      <c r="C9" s="8">
        <v>260</v>
      </c>
      <c r="D9" s="5" t="s">
        <v>11</v>
      </c>
      <c r="E9" s="14">
        <f>Supuestos!$B$9</f>
        <v>125</v>
      </c>
      <c r="F9" s="10">
        <f t="shared" si="0"/>
        <v>32500</v>
      </c>
      <c r="G9" s="7" t="s">
        <v>18</v>
      </c>
    </row>
    <row r="10" spans="1:7" ht="25.5" x14ac:dyDescent="0.25">
      <c r="A10" s="5"/>
      <c r="B10" s="5" t="s">
        <v>19</v>
      </c>
      <c r="C10" s="8">
        <v>120</v>
      </c>
      <c r="D10" s="5" t="s">
        <v>11</v>
      </c>
      <c r="E10" s="14">
        <f>Supuestos!$B$9</f>
        <v>125</v>
      </c>
      <c r="F10" s="10">
        <f t="shared" si="0"/>
        <v>15000</v>
      </c>
      <c r="G10" s="7" t="s">
        <v>20</v>
      </c>
    </row>
    <row r="11" spans="1:7" x14ac:dyDescent="0.25">
      <c r="A11" s="5"/>
      <c r="B11" s="5" t="s">
        <v>21</v>
      </c>
      <c r="C11" s="8">
        <v>60</v>
      </c>
      <c r="D11" s="5" t="s">
        <v>11</v>
      </c>
      <c r="E11" s="14">
        <f>Supuestos!$B$9</f>
        <v>125</v>
      </c>
      <c r="F11" s="10">
        <f t="shared" si="0"/>
        <v>7500</v>
      </c>
      <c r="G11" s="7" t="s">
        <v>22</v>
      </c>
    </row>
    <row r="12" spans="1:7" x14ac:dyDescent="0.25">
      <c r="A12" s="5"/>
      <c r="B12" s="5" t="s">
        <v>23</v>
      </c>
      <c r="C12" s="8">
        <v>40</v>
      </c>
      <c r="D12" s="5" t="s">
        <v>11</v>
      </c>
      <c r="E12" s="14">
        <f>Supuestos!$B$9</f>
        <v>125</v>
      </c>
      <c r="F12" s="10">
        <f t="shared" si="0"/>
        <v>5000</v>
      </c>
      <c r="G12" s="7" t="s">
        <v>22</v>
      </c>
    </row>
    <row r="13" spans="1:7" x14ac:dyDescent="0.25">
      <c r="B13" s="15" t="s">
        <v>24</v>
      </c>
      <c r="F13" s="16">
        <f>SUM(F6:F12)</f>
        <v>75000</v>
      </c>
    </row>
    <row r="15" spans="1:7" x14ac:dyDescent="0.25">
      <c r="A15" s="3" t="s">
        <v>25</v>
      </c>
      <c r="B15" s="4"/>
      <c r="C15" s="4"/>
      <c r="D15" s="4"/>
      <c r="E15" s="4"/>
      <c r="F15" s="4"/>
      <c r="G15" s="4"/>
    </row>
    <row r="16" spans="1:7" x14ac:dyDescent="0.25">
      <c r="A16" s="5"/>
      <c r="B16" s="5" t="s">
        <v>26</v>
      </c>
      <c r="C16" s="8">
        <v>1</v>
      </c>
      <c r="D16" s="5" t="s">
        <v>27</v>
      </c>
      <c r="E16" s="6">
        <v>0</v>
      </c>
      <c r="F16" s="10">
        <f>C16*E16</f>
        <v>0</v>
      </c>
      <c r="G16" s="7" t="s">
        <v>28</v>
      </c>
    </row>
    <row r="17" spans="1:7" x14ac:dyDescent="0.25">
      <c r="A17" s="5"/>
      <c r="B17" s="5" t="s">
        <v>29</v>
      </c>
      <c r="C17" s="8">
        <v>1</v>
      </c>
      <c r="D17" s="5" t="s">
        <v>27</v>
      </c>
      <c r="E17" s="6">
        <v>0</v>
      </c>
      <c r="F17" s="10">
        <f>C17*E17</f>
        <v>0</v>
      </c>
      <c r="G17" s="7" t="s">
        <v>30</v>
      </c>
    </row>
    <row r="18" spans="1:7" ht="25.5" x14ac:dyDescent="0.25">
      <c r="A18" s="5"/>
      <c r="B18" s="5" t="s">
        <v>31</v>
      </c>
      <c r="C18" s="8">
        <v>1</v>
      </c>
      <c r="D18" s="5" t="s">
        <v>32</v>
      </c>
      <c r="E18" s="6">
        <v>0</v>
      </c>
      <c r="F18" s="10">
        <f>C18*E18</f>
        <v>0</v>
      </c>
      <c r="G18" s="7" t="s">
        <v>33</v>
      </c>
    </row>
    <row r="19" spans="1:7" ht="36" x14ac:dyDescent="0.25">
      <c r="A19" s="5"/>
      <c r="B19" s="5" t="s">
        <v>34</v>
      </c>
      <c r="C19" s="8">
        <v>1</v>
      </c>
      <c r="D19" s="5" t="s">
        <v>27</v>
      </c>
      <c r="E19" s="6">
        <v>0</v>
      </c>
      <c r="F19" s="10">
        <f>C19*E19</f>
        <v>0</v>
      </c>
      <c r="G19" s="7" t="s">
        <v>35</v>
      </c>
    </row>
    <row r="20" spans="1:7" x14ac:dyDescent="0.25">
      <c r="A20" s="5"/>
      <c r="B20" s="5" t="s">
        <v>36</v>
      </c>
      <c r="C20" s="8">
        <v>1</v>
      </c>
      <c r="D20" s="5" t="s">
        <v>27</v>
      </c>
      <c r="E20" s="6">
        <v>0</v>
      </c>
      <c r="F20" s="10">
        <f>C20*E20</f>
        <v>0</v>
      </c>
      <c r="G20" s="7" t="s">
        <v>37</v>
      </c>
    </row>
    <row r="21" spans="1:7" x14ac:dyDescent="0.25">
      <c r="B21" s="15" t="s">
        <v>38</v>
      </c>
      <c r="F21" s="16">
        <f>SUM(F16:F20)</f>
        <v>0</v>
      </c>
    </row>
    <row r="23" spans="1:7" x14ac:dyDescent="0.25">
      <c r="A23" s="3" t="s">
        <v>39</v>
      </c>
      <c r="B23" s="4"/>
      <c r="C23" s="4"/>
      <c r="D23" s="4"/>
      <c r="E23" s="4"/>
      <c r="F23" s="4"/>
      <c r="G23" s="4"/>
    </row>
    <row r="24" spans="1:7" ht="24" x14ac:dyDescent="0.25">
      <c r="A24" s="5"/>
      <c r="B24" s="5" t="s">
        <v>40</v>
      </c>
      <c r="C24" s="8">
        <v>1</v>
      </c>
      <c r="D24" s="5" t="s">
        <v>41</v>
      </c>
      <c r="E24" s="6">
        <v>0</v>
      </c>
      <c r="F24" s="10">
        <f>C24*E24</f>
        <v>0</v>
      </c>
      <c r="G24" s="7" t="s">
        <v>42</v>
      </c>
    </row>
    <row r="25" spans="1:7" x14ac:dyDescent="0.25">
      <c r="A25" s="5"/>
      <c r="B25" s="5" t="s">
        <v>43</v>
      </c>
      <c r="C25" s="8">
        <v>1</v>
      </c>
      <c r="D25" s="5" t="s">
        <v>44</v>
      </c>
      <c r="E25" s="6">
        <v>1500</v>
      </c>
      <c r="F25" s="10">
        <f>C25*E25</f>
        <v>1500</v>
      </c>
      <c r="G25" s="7" t="s">
        <v>45</v>
      </c>
    </row>
    <row r="26" spans="1:7" ht="25.5" x14ac:dyDescent="0.25">
      <c r="A26" s="5"/>
      <c r="B26" s="5" t="s">
        <v>46</v>
      </c>
      <c r="C26" s="8">
        <v>1</v>
      </c>
      <c r="D26" s="5" t="s">
        <v>44</v>
      </c>
      <c r="E26" s="6">
        <v>2000</v>
      </c>
      <c r="F26" s="10">
        <f>C26*E26</f>
        <v>2000</v>
      </c>
      <c r="G26" s="7" t="s">
        <v>45</v>
      </c>
    </row>
    <row r="27" spans="1:7" ht="25.5" x14ac:dyDescent="0.25">
      <c r="A27" s="5"/>
      <c r="B27" s="5" t="s">
        <v>47</v>
      </c>
      <c r="C27" s="8">
        <v>1</v>
      </c>
      <c r="D27" s="5" t="s">
        <v>48</v>
      </c>
      <c r="E27" s="6">
        <v>800</v>
      </c>
      <c r="F27" s="10">
        <f>C27*E27</f>
        <v>800</v>
      </c>
      <c r="G27" s="7" t="s">
        <v>49</v>
      </c>
    </row>
    <row r="28" spans="1:7" x14ac:dyDescent="0.25">
      <c r="B28" s="15" t="s">
        <v>50</v>
      </c>
      <c r="F28" s="16">
        <f>SUM(F24:F27)</f>
        <v>4300</v>
      </c>
    </row>
    <row r="30" spans="1:7" x14ac:dyDescent="0.25">
      <c r="A30" s="3" t="s">
        <v>51</v>
      </c>
      <c r="B30" s="4"/>
      <c r="C30" s="4"/>
      <c r="D30" s="4"/>
      <c r="E30" s="4"/>
      <c r="F30" s="4"/>
      <c r="G30" s="4"/>
    </row>
    <row r="31" spans="1:7" x14ac:dyDescent="0.25">
      <c r="A31" s="5"/>
      <c r="B31" s="5" t="s">
        <v>52</v>
      </c>
      <c r="C31" s="8">
        <v>8</v>
      </c>
      <c r="D31" s="5" t="s">
        <v>11</v>
      </c>
      <c r="E31" s="14">
        <f>Supuestos!$B$9</f>
        <v>125</v>
      </c>
      <c r="F31" s="10">
        <f>C31*E31</f>
        <v>1000</v>
      </c>
      <c r="G31" s="7" t="s">
        <v>22</v>
      </c>
    </row>
    <row r="32" spans="1:7" x14ac:dyDescent="0.25">
      <c r="A32" s="5"/>
      <c r="B32" s="5" t="s">
        <v>53</v>
      </c>
      <c r="C32" s="8">
        <v>24</v>
      </c>
      <c r="D32" s="5" t="s">
        <v>11</v>
      </c>
      <c r="E32" s="14">
        <f>Supuestos!$B$9</f>
        <v>125</v>
      </c>
      <c r="F32" s="10">
        <f>C32*E32</f>
        <v>3000</v>
      </c>
      <c r="G32" s="7" t="s">
        <v>54</v>
      </c>
    </row>
    <row r="33" spans="1:7" x14ac:dyDescent="0.25">
      <c r="A33" s="5"/>
      <c r="B33" s="5" t="s">
        <v>55</v>
      </c>
      <c r="C33" s="8">
        <v>8</v>
      </c>
      <c r="D33" s="5" t="s">
        <v>11</v>
      </c>
      <c r="E33" s="14">
        <f>Supuestos!$B$9</f>
        <v>125</v>
      </c>
      <c r="F33" s="10">
        <f>C33*E33</f>
        <v>1000</v>
      </c>
      <c r="G33" s="7" t="s">
        <v>22</v>
      </c>
    </row>
    <row r="34" spans="1:7" x14ac:dyDescent="0.25">
      <c r="B34" s="15" t="s">
        <v>56</v>
      </c>
      <c r="F34" s="16">
        <f>SUM(F31:F33)</f>
        <v>5000</v>
      </c>
    </row>
    <row r="36" spans="1:7" x14ac:dyDescent="0.25">
      <c r="B36" s="15" t="s">
        <v>57</v>
      </c>
      <c r="F36" s="16">
        <f>F13+F21+F28+F34</f>
        <v>84300</v>
      </c>
    </row>
    <row r="37" spans="1:7" x14ac:dyDescent="0.25">
      <c r="B37" s="5" t="s">
        <v>58</v>
      </c>
      <c r="E37" s="17">
        <f>Supuestos!$B$12</f>
        <v>0.1</v>
      </c>
      <c r="F37" s="10">
        <f>F36*E37</f>
        <v>8430</v>
      </c>
      <c r="G37" s="7" t="s">
        <v>59</v>
      </c>
    </row>
    <row r="38" spans="1:7" x14ac:dyDescent="0.25">
      <c r="B38" s="18" t="s">
        <v>60</v>
      </c>
      <c r="F38" s="19">
        <f>F36+F37</f>
        <v>92730</v>
      </c>
    </row>
    <row r="40" spans="1:7" ht="25.5" x14ac:dyDescent="0.25">
      <c r="B40" s="15" t="s">
        <v>61</v>
      </c>
      <c r="E40" s="17">
        <f>Supuestos!$B$13</f>
        <v>0.15</v>
      </c>
      <c r="F40" s="16">
        <f>F13*E40</f>
        <v>11250</v>
      </c>
      <c r="G40" s="7" t="s">
        <v>62</v>
      </c>
    </row>
    <row r="42" spans="1:7" x14ac:dyDescent="0.25">
      <c r="B42" s="5" t="s">
        <v>63</v>
      </c>
      <c r="F42" s="20">
        <f>SUMIFS(C5:C12,D5:D12,"horas")</f>
        <v>600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showGridLines="0" workbookViewId="0"/>
  </sheetViews>
  <sheetFormatPr baseColWidth="10" defaultColWidth="9.140625" defaultRowHeight="15" x14ac:dyDescent="0.25"/>
  <cols>
    <col min="1" max="1" width="52" customWidth="1"/>
    <col min="2" max="2" width="18" customWidth="1"/>
    <col min="3" max="3" width="60" customWidth="1"/>
  </cols>
  <sheetData>
    <row r="1" spans="1:3" ht="18" x14ac:dyDescent="0.25">
      <c r="A1" s="1" t="s">
        <v>96</v>
      </c>
    </row>
    <row r="3" spans="1:3" x14ac:dyDescent="0.25">
      <c r="A3" s="2" t="s">
        <v>97</v>
      </c>
      <c r="B3" s="2" t="s">
        <v>98</v>
      </c>
      <c r="C3" s="2" t="s">
        <v>99</v>
      </c>
    </row>
    <row r="4" spans="1:3" x14ac:dyDescent="0.25">
      <c r="A4" s="5" t="s">
        <v>100</v>
      </c>
      <c r="B4" s="14">
        <f>Supuestos!B17*Supuestos!B18</f>
        <v>10500</v>
      </c>
      <c r="C4" s="7" t="s">
        <v>101</v>
      </c>
    </row>
    <row r="5" spans="1:3" x14ac:dyDescent="0.25">
      <c r="A5" s="5" t="s">
        <v>102</v>
      </c>
      <c r="B5" s="14">
        <f>Supuestos!B19*12*Supuestos!B20/Supuestos!B7</f>
        <v>11700</v>
      </c>
      <c r="C5" s="7" t="s">
        <v>103</v>
      </c>
    </row>
    <row r="6" spans="1:3" x14ac:dyDescent="0.25">
      <c r="A6" s="5" t="s">
        <v>104</v>
      </c>
      <c r="B6" s="14">
        <f>Supuestos!B21</f>
        <v>5000</v>
      </c>
      <c r="C6" s="7" t="s">
        <v>105</v>
      </c>
    </row>
    <row r="7" spans="1:3" ht="24" x14ac:dyDescent="0.25">
      <c r="A7" s="15" t="s">
        <v>106</v>
      </c>
      <c r="B7" s="16">
        <f>SUM(B4:B6)</f>
        <v>27200</v>
      </c>
      <c r="C7" s="7" t="s">
        <v>107</v>
      </c>
    </row>
    <row r="8" spans="1:3" x14ac:dyDescent="0.25">
      <c r="A8" s="5" t="s">
        <v>108</v>
      </c>
      <c r="B8" s="14">
        <f>Presupuesto!F40</f>
        <v>11250</v>
      </c>
      <c r="C8" s="7" t="s">
        <v>109</v>
      </c>
    </row>
    <row r="9" spans="1:3" x14ac:dyDescent="0.25">
      <c r="A9" s="15" t="s">
        <v>110</v>
      </c>
      <c r="B9" s="16">
        <f>B7-B8</f>
        <v>15950</v>
      </c>
      <c r="C9" s="7" t="s">
        <v>111</v>
      </c>
    </row>
    <row r="10" spans="1:3" x14ac:dyDescent="0.25">
      <c r="A10" s="5" t="s">
        <v>112</v>
      </c>
      <c r="B10" s="14">
        <f>Presupuesto!F38</f>
        <v>92730</v>
      </c>
      <c r="C10" s="7" t="s">
        <v>109</v>
      </c>
    </row>
    <row r="11" spans="1:3" x14ac:dyDescent="0.25">
      <c r="A11" s="15" t="s">
        <v>113</v>
      </c>
      <c r="B11" s="21">
        <f>IF(B9&gt;0,B10/B9*12,"No se recupera")</f>
        <v>69.765517241379314</v>
      </c>
      <c r="C11" s="7" t="s">
        <v>114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6"/>
  <sheetViews>
    <sheetView showGridLines="0" workbookViewId="0"/>
  </sheetViews>
  <sheetFormatPr baseColWidth="10" defaultColWidth="9.140625" defaultRowHeight="15" x14ac:dyDescent="0.25"/>
  <cols>
    <col min="1" max="1" width="120" customWidth="1"/>
  </cols>
  <sheetData>
    <row r="1" spans="1:1" ht="18" x14ac:dyDescent="0.25">
      <c r="A1" s="22" t="s">
        <v>115</v>
      </c>
    </row>
    <row r="2" spans="1:1" ht="25.5" x14ac:dyDescent="0.25">
      <c r="A2" s="23" t="s">
        <v>116</v>
      </c>
    </row>
    <row r="3" spans="1:1" x14ac:dyDescent="0.25">
      <c r="A3" s="23"/>
    </row>
    <row r="4" spans="1:1" x14ac:dyDescent="0.25">
      <c r="A4" s="24" t="s">
        <v>117</v>
      </c>
    </row>
    <row r="5" spans="1:1" x14ac:dyDescent="0.25">
      <c r="A5" s="23" t="s">
        <v>118</v>
      </c>
    </row>
    <row r="6" spans="1:1" x14ac:dyDescent="0.25">
      <c r="A6" s="23" t="s">
        <v>119</v>
      </c>
    </row>
    <row r="7" spans="1:1" x14ac:dyDescent="0.25">
      <c r="A7" s="23" t="s">
        <v>120</v>
      </c>
    </row>
    <row r="8" spans="1:1" x14ac:dyDescent="0.25">
      <c r="A8" s="23" t="s">
        <v>121</v>
      </c>
    </row>
    <row r="9" spans="1:1" x14ac:dyDescent="0.25">
      <c r="A9" s="23"/>
    </row>
    <row r="10" spans="1:1" x14ac:dyDescent="0.25">
      <c r="A10" s="24" t="s">
        <v>122</v>
      </c>
    </row>
    <row r="11" spans="1:1" x14ac:dyDescent="0.25">
      <c r="A11" s="23" t="s">
        <v>123</v>
      </c>
    </row>
    <row r="12" spans="1:1" x14ac:dyDescent="0.25">
      <c r="A12" s="23" t="s">
        <v>124</v>
      </c>
    </row>
    <row r="13" spans="1:1" x14ac:dyDescent="0.25">
      <c r="A13" s="23" t="s">
        <v>125</v>
      </c>
    </row>
    <row r="14" spans="1:1" x14ac:dyDescent="0.25">
      <c r="A14" s="23"/>
    </row>
    <row r="15" spans="1:1" x14ac:dyDescent="0.25">
      <c r="A15" s="24" t="s">
        <v>126</v>
      </c>
    </row>
    <row r="16" spans="1:1" ht="25.5" x14ac:dyDescent="0.25">
      <c r="A16" s="23" t="s">
        <v>127</v>
      </c>
    </row>
    <row r="17" spans="1:1" x14ac:dyDescent="0.25">
      <c r="A17" s="23" t="s">
        <v>128</v>
      </c>
    </row>
    <row r="18" spans="1:1" x14ac:dyDescent="0.25">
      <c r="A18" s="23" t="s">
        <v>129</v>
      </c>
    </row>
    <row r="19" spans="1:1" x14ac:dyDescent="0.25">
      <c r="A19" s="23" t="s">
        <v>130</v>
      </c>
    </row>
    <row r="20" spans="1:1" x14ac:dyDescent="0.25">
      <c r="A20" s="23" t="s">
        <v>131</v>
      </c>
    </row>
    <row r="21" spans="1:1" x14ac:dyDescent="0.25">
      <c r="A21" s="23" t="s">
        <v>132</v>
      </c>
    </row>
    <row r="22" spans="1:1" x14ac:dyDescent="0.25">
      <c r="A22" s="23"/>
    </row>
    <row r="23" spans="1:1" x14ac:dyDescent="0.25">
      <c r="A23" s="24" t="s">
        <v>133</v>
      </c>
    </row>
    <row r="24" spans="1:1" x14ac:dyDescent="0.25">
      <c r="A24" s="23" t="s">
        <v>134</v>
      </c>
    </row>
    <row r="25" spans="1:1" x14ac:dyDescent="0.25">
      <c r="A25" s="23" t="s">
        <v>135</v>
      </c>
    </row>
    <row r="26" spans="1:1" x14ac:dyDescent="0.25">
      <c r="A26" s="23" t="s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Supuestos</vt:lpstr>
      <vt:lpstr>Presupuesto</vt:lpstr>
      <vt:lpstr>Recuperación</vt:lpstr>
      <vt:lpstr>Notas para Claude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Hector Flores</cp:lastModifiedBy>
  <dcterms:created xsi:type="dcterms:W3CDTF">2026-10-12T17:41:32Z</dcterms:created>
  <dcterms:modified xsi:type="dcterms:W3CDTF">2026-10-12T17:41:44Z</dcterms:modified>
</cp:coreProperties>
</file>